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12" yWindow="600" windowWidth="21852" windowHeight="10788"/>
  </bookViews>
  <sheets>
    <sheet name="CON REFORMA" sheetId="1" r:id="rId1"/>
  </sheets>
  <calcPr calcId="144525"/>
</workbook>
</file>

<file path=xl/calcChain.xml><?xml version="1.0" encoding="utf-8"?>
<calcChain xmlns="http://schemas.openxmlformats.org/spreadsheetml/2006/main">
  <c r="X6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5" i="1"/>
  <c r="X5" i="1" l="1"/>
  <c r="X8" i="1" s="1"/>
  <c r="X24" i="1" s="1"/>
  <c r="S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29" i="1"/>
  <c r="N37" i="1"/>
  <c r="N31" i="1"/>
  <c r="I37" i="1"/>
  <c r="I31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5" i="1"/>
  <c r="S13" i="1"/>
  <c r="S7" i="1"/>
  <c r="S6" i="1" s="1"/>
  <c r="S5" i="1" s="1"/>
  <c r="N13" i="1"/>
  <c r="N7" i="1"/>
  <c r="N6" i="1" s="1"/>
  <c r="N5" i="1" s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5" i="1"/>
  <c r="I13" i="1"/>
  <c r="I6" i="1" s="1"/>
  <c r="I5" i="1" s="1"/>
  <c r="I7" i="1"/>
  <c r="B7" i="1"/>
  <c r="B6" i="1" s="1"/>
  <c r="B5" i="1" s="1"/>
  <c r="B31" i="1"/>
  <c r="B37" i="1"/>
  <c r="B13" i="1"/>
  <c r="X30" i="1" l="1"/>
  <c r="AA27" i="1" s="1"/>
  <c r="B30" i="1"/>
  <c r="B29" i="1" s="1"/>
  <c r="I30" i="1"/>
  <c r="I29" i="1" s="1"/>
  <c r="N30" i="1"/>
  <c r="N29" i="1" s="1"/>
</calcChain>
</file>

<file path=xl/sharedStrings.xml><?xml version="1.0" encoding="utf-8"?>
<sst xmlns="http://schemas.openxmlformats.org/spreadsheetml/2006/main" count="154" uniqueCount="40">
  <si>
    <t>FURGONETA</t>
  </si>
  <si>
    <t>Costes a 31 de enero de 2026</t>
  </si>
  <si>
    <t>CONCEPTO</t>
  </si>
  <si>
    <t>Euros (€)</t>
  </si>
  <si>
    <t>Costes totales</t>
  </si>
  <si>
    <t xml:space="preserve">  Costes directos</t>
  </si>
  <si>
    <t xml:space="preserve">    Costes por tiempo</t>
  </si>
  <si>
    <t xml:space="preserve">    Amortización del vehículo</t>
  </si>
  <si>
    <t xml:space="preserve">    Financiación del vehículo</t>
  </si>
  <si>
    <t xml:space="preserve">    Personal de conducción</t>
  </si>
  <si>
    <t xml:space="preserve">    Seguros</t>
  </si>
  <si>
    <t xml:space="preserve">  Costes fiscales</t>
  </si>
  <si>
    <t xml:space="preserve">  Costes kilométricos</t>
  </si>
  <si>
    <t xml:space="preserve">    Combustible</t>
  </si>
  <si>
    <t xml:space="preserve">    Consumo de disolución de urea</t>
  </si>
  <si>
    <t xml:space="preserve">    Neumáticos</t>
  </si>
  <si>
    <t xml:space="preserve">    Mantenimiento</t>
  </si>
  <si>
    <t xml:space="preserve">    Reparaciones</t>
  </si>
  <si>
    <t xml:space="preserve">    Dietas</t>
  </si>
  <si>
    <t xml:space="preserve">  Peajes</t>
  </si>
  <si>
    <t xml:space="preserve">  Costes indirectos</t>
  </si>
  <si>
    <t>VEHÍCULO ARTICULADO DE CARGA GENERAL</t>
  </si>
  <si>
    <t xml:space="preserve">    Costes fiscales</t>
  </si>
  <si>
    <t xml:space="preserve">    Peajes</t>
  </si>
  <si>
    <t>26 furgonetas sin dietas ni kms</t>
  </si>
  <si>
    <t>26 VEHÍCULOS</t>
  </si>
  <si>
    <t>75 furgonetas con kms y dietas</t>
  </si>
  <si>
    <t>75 VEHÍCULOS</t>
  </si>
  <si>
    <t>1 trailer con kms y dieta</t>
  </si>
  <si>
    <t>6 TRAILERS</t>
  </si>
  <si>
    <t xml:space="preserve">Total Trailers </t>
  </si>
  <si>
    <t>Total furgonetas propias</t>
  </si>
  <si>
    <t>Total furgonetas subcontratadas</t>
  </si>
  <si>
    <t xml:space="preserve">Total Furgonetas </t>
  </si>
  <si>
    <t>TOTAL RUTAS (M€)</t>
  </si>
  <si>
    <t>CON SVQ1 UNIFICADO</t>
  </si>
  <si>
    <t>SIN UNIFICAR SVQ1</t>
  </si>
  <si>
    <t>SOBRECOSTE ANUAL (€)</t>
  </si>
  <si>
    <t>9 VEHÍCULOS</t>
  </si>
  <si>
    <t>9 furgonetas sin kms pero con dietas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</si>
</sst>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&quot;€&quot;"/>
  </numFmts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0" fontId="5" fillId="4" borderId="0" applyNumberFormat="0" applyBorder="0" applyAlignment="0" applyProtection="0"/>
    <xf numFmtId="0" fontId="7" fillId="5" borderId="0" applyNumberFormat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164" fontId="0" fillId="0" borderId="1" xfId="1" applyNumberFormat="1" applyFont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3" fillId="3" borderId="1" xfId="1" applyNumberFormat="1" applyFont="1" applyFill="1" applyBorder="1" applyAlignment="1">
      <alignment horizontal="right" vertical="center"/>
    </xf>
    <xf numFmtId="164" fontId="0" fillId="0" borderId="0" xfId="0" applyNumberFormat="1"/>
    <xf numFmtId="164" fontId="5" fillId="4" borderId="0" xfId="2" applyNumberFormat="1"/>
    <xf numFmtId="0" fontId="0" fillId="0" borderId="0" xfId="0" applyAlignment="1"/>
    <xf numFmtId="164" fontId="7" fillId="5" borderId="1" xfId="3" applyNumberFormat="1" applyBorder="1" applyAlignment="1">
      <alignment horizontal="right" vertical="center"/>
    </xf>
    <xf numFmtId="164" fontId="5" fillId="4" borderId="1" xfId="2" applyNumberFormat="1" applyBorder="1" applyAlignment="1">
      <alignment horizontal="right" vertical="center"/>
    </xf>
    <xf numFmtId="0" fontId="0" fillId="6" borderId="0" xfId="0" applyFill="1"/>
    <xf numFmtId="164" fontId="0" fillId="6" borderId="0" xfId="0" applyNumberFormat="1" applyFill="1"/>
    <xf numFmtId="0" fontId="6" fillId="0" borderId="0" xfId="0" applyFont="1" applyAlignment="1">
      <alignment horizontal="center" vertical="center"/>
    </xf>
    <xf numFmtId="2" fontId="9" fillId="7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4" fontId="8" fillId="8" borderId="0" xfId="1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Buena" xfId="2" builtinId="26"/>
    <cellStyle name="Énfasis2" xfId="3" builtinId="33"/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5"/>
  <sheetViews>
    <sheetView tabSelected="1" topLeftCell="P1" workbookViewId="0">
      <selection activeCell="X8" sqref="X8"/>
    </sheetView>
  </sheetViews>
  <sheetFormatPr baseColWidth="10" defaultColWidth="8.88671875" defaultRowHeight="14.4" x14ac:dyDescent="0.3"/>
  <cols>
    <col min="1" max="1" width="45" customWidth="1"/>
    <col min="2" max="2" width="15" customWidth="1"/>
    <col min="3" max="3" width="18" customWidth="1"/>
    <col min="8" max="8" width="25.88671875" customWidth="1"/>
    <col min="9" max="9" width="18.5546875" customWidth="1"/>
    <col min="10" max="10" width="20.88671875" customWidth="1"/>
    <col min="13" max="13" width="23.6640625" customWidth="1"/>
    <col min="14" max="14" width="17.21875" customWidth="1"/>
    <col min="15" max="15" width="24.88671875" customWidth="1"/>
    <col min="18" max="18" width="24.88671875" customWidth="1"/>
    <col min="19" max="20" width="19.88671875" customWidth="1"/>
    <col min="23" max="23" width="32.5546875" customWidth="1"/>
    <col min="24" max="24" width="14" bestFit="1" customWidth="1"/>
    <col min="26" max="26" width="30.88671875" customWidth="1"/>
    <col min="27" max="27" width="19.33203125" bestFit="1" customWidth="1"/>
  </cols>
  <sheetData>
    <row r="1" spans="1:24" ht="15.6" x14ac:dyDescent="0.3">
      <c r="A1" s="1" t="s">
        <v>0</v>
      </c>
      <c r="H1" s="22" t="s">
        <v>24</v>
      </c>
      <c r="I1" s="22"/>
      <c r="J1" s="22"/>
      <c r="K1" s="12"/>
      <c r="L1" s="12"/>
      <c r="M1" s="22" t="s">
        <v>39</v>
      </c>
      <c r="N1" s="22"/>
      <c r="O1" s="22"/>
      <c r="R1" s="22" t="s">
        <v>26</v>
      </c>
      <c r="S1" s="22"/>
      <c r="T1" s="22"/>
    </row>
    <row r="2" spans="1:24" ht="15.6" x14ac:dyDescent="0.3">
      <c r="A2" s="1" t="s">
        <v>1</v>
      </c>
    </row>
    <row r="3" spans="1:24" x14ac:dyDescent="0.3">
      <c r="A3" s="2"/>
    </row>
    <row r="4" spans="1:24" x14ac:dyDescent="0.3">
      <c r="A4" s="3" t="s">
        <v>2</v>
      </c>
      <c r="B4" s="3" t="s">
        <v>3</v>
      </c>
      <c r="H4" s="3" t="s">
        <v>2</v>
      </c>
      <c r="I4" s="3" t="s">
        <v>3</v>
      </c>
      <c r="J4" s="5" t="s">
        <v>25</v>
      </c>
      <c r="M4" s="3" t="s">
        <v>2</v>
      </c>
      <c r="N4" s="3" t="s">
        <v>3</v>
      </c>
      <c r="O4" s="5" t="s">
        <v>38</v>
      </c>
      <c r="R4" s="3" t="s">
        <v>2</v>
      </c>
      <c r="S4" s="3" t="s">
        <v>3</v>
      </c>
      <c r="T4" s="5" t="s">
        <v>27</v>
      </c>
    </row>
    <row r="5" spans="1:24" x14ac:dyDescent="0.3">
      <c r="A5" s="4" t="s">
        <v>4</v>
      </c>
      <c r="B5" s="7">
        <f>SUM(B6,B21)</f>
        <v>61012.929999999993</v>
      </c>
      <c r="H5" s="4" t="s">
        <v>4</v>
      </c>
      <c r="I5" s="7">
        <f>SUM(I6,I21)</f>
        <v>48370.929999999993</v>
      </c>
      <c r="J5" s="11">
        <f>I5*26</f>
        <v>1257644.1799999997</v>
      </c>
      <c r="M5" s="4" t="s">
        <v>4</v>
      </c>
      <c r="N5" s="7">
        <f>SUM(N6,N21)</f>
        <v>54739.729999999996</v>
      </c>
      <c r="O5" s="11">
        <f>N5*9</f>
        <v>492657.56999999995</v>
      </c>
      <c r="R5" s="4" t="s">
        <v>4</v>
      </c>
      <c r="S5" s="7">
        <f>SUM(S6,S21)</f>
        <v>61012.929999999993</v>
      </c>
      <c r="T5" s="11">
        <f>S5*75</f>
        <v>4575969.7499999991</v>
      </c>
      <c r="W5" t="s">
        <v>31</v>
      </c>
      <c r="X5" s="10">
        <f>SUM(J5,O5,T5)</f>
        <v>6326271.4999999981</v>
      </c>
    </row>
    <row r="6" spans="1:24" x14ac:dyDescent="0.3">
      <c r="A6" s="4" t="s">
        <v>5</v>
      </c>
      <c r="B6" s="7">
        <f>SUM(B7,B13)</f>
        <v>57289.139999999992</v>
      </c>
      <c r="H6" s="4" t="s">
        <v>5</v>
      </c>
      <c r="I6" s="7">
        <f>SUM(I7,I13)</f>
        <v>44647.139999999992</v>
      </c>
      <c r="J6" s="10">
        <f t="shared" ref="J6:J21" si="0">I6*26</f>
        <v>1160825.6399999999</v>
      </c>
      <c r="M6" s="4" t="s">
        <v>5</v>
      </c>
      <c r="N6" s="7">
        <f>SUM(N7,N13)</f>
        <v>51015.939999999995</v>
      </c>
      <c r="O6" s="10">
        <f t="shared" ref="O6:O21" si="1">N6*9</f>
        <v>459143.45999999996</v>
      </c>
      <c r="R6" s="4" t="s">
        <v>5</v>
      </c>
      <c r="S6" s="7">
        <f>SUM(S7,S13)</f>
        <v>57289.139999999992</v>
      </c>
      <c r="T6" s="10">
        <f t="shared" ref="T6:T21" si="2">S6*75</f>
        <v>4296685.4999999991</v>
      </c>
      <c r="W6" t="s">
        <v>32</v>
      </c>
      <c r="X6" s="10">
        <f>61*45000</f>
        <v>2745000</v>
      </c>
    </row>
    <row r="7" spans="1:24" x14ac:dyDescent="0.3">
      <c r="A7" s="2" t="s">
        <v>6</v>
      </c>
      <c r="B7" s="8">
        <f>SUM(B8:B12)</f>
        <v>42116.469999999994</v>
      </c>
      <c r="H7" s="2" t="s">
        <v>6</v>
      </c>
      <c r="I7" s="8">
        <f>SUM(I8:I12)</f>
        <v>42116.469999999994</v>
      </c>
      <c r="J7" s="10">
        <f t="shared" si="0"/>
        <v>1095028.2199999997</v>
      </c>
      <c r="M7" s="2" t="s">
        <v>6</v>
      </c>
      <c r="N7" s="8">
        <f>SUM(N8:N12)</f>
        <v>42116.469999999994</v>
      </c>
      <c r="O7" s="10">
        <f t="shared" si="1"/>
        <v>379048.22999999992</v>
      </c>
      <c r="R7" s="2" t="s">
        <v>6</v>
      </c>
      <c r="S7" s="8">
        <f>SUM(S8:S12)</f>
        <v>42116.469999999994</v>
      </c>
      <c r="T7" s="10">
        <f t="shared" si="2"/>
        <v>3158735.2499999995</v>
      </c>
    </row>
    <row r="8" spans="1:24" x14ac:dyDescent="0.3">
      <c r="A8" s="2" t="s">
        <v>7</v>
      </c>
      <c r="B8" s="8">
        <v>2468.48</v>
      </c>
      <c r="H8" s="2" t="s">
        <v>7</v>
      </c>
      <c r="I8" s="8">
        <v>2468.48</v>
      </c>
      <c r="J8" s="10">
        <f t="shared" si="0"/>
        <v>64180.480000000003</v>
      </c>
      <c r="M8" s="2" t="s">
        <v>7</v>
      </c>
      <c r="N8" s="8">
        <v>2468.48</v>
      </c>
      <c r="O8" s="10">
        <f t="shared" si="1"/>
        <v>22216.32</v>
      </c>
      <c r="R8" s="2" t="s">
        <v>7</v>
      </c>
      <c r="S8" s="8">
        <v>2468.48</v>
      </c>
      <c r="T8" s="10">
        <f t="shared" si="2"/>
        <v>185136</v>
      </c>
      <c r="W8" s="15" t="s">
        <v>33</v>
      </c>
      <c r="X8" s="16">
        <f>SUM(X5:X6)</f>
        <v>9071271.4999999981</v>
      </c>
    </row>
    <row r="9" spans="1:24" x14ac:dyDescent="0.3">
      <c r="A9" s="2" t="s">
        <v>8</v>
      </c>
      <c r="B9" s="8">
        <v>535.87</v>
      </c>
      <c r="H9" s="2" t="s">
        <v>8</v>
      </c>
      <c r="I9" s="8">
        <v>535.87</v>
      </c>
      <c r="J9" s="10">
        <f t="shared" si="0"/>
        <v>13932.62</v>
      </c>
      <c r="M9" s="2" t="s">
        <v>8</v>
      </c>
      <c r="N9" s="8">
        <v>535.87</v>
      </c>
      <c r="O9" s="10">
        <f t="shared" si="1"/>
        <v>4822.83</v>
      </c>
      <c r="R9" s="2" t="s">
        <v>8</v>
      </c>
      <c r="S9" s="8">
        <v>535.87</v>
      </c>
      <c r="T9" s="10">
        <f t="shared" si="2"/>
        <v>40190.25</v>
      </c>
    </row>
    <row r="10" spans="1:24" x14ac:dyDescent="0.3">
      <c r="A10" s="2" t="s">
        <v>9</v>
      </c>
      <c r="B10" s="8">
        <v>33750.92</v>
      </c>
      <c r="H10" s="2" t="s">
        <v>9</v>
      </c>
      <c r="I10" s="8">
        <v>33750.92</v>
      </c>
      <c r="J10" s="10">
        <f t="shared" si="0"/>
        <v>877523.91999999993</v>
      </c>
      <c r="M10" s="2" t="s">
        <v>9</v>
      </c>
      <c r="N10" s="8">
        <v>33750.92</v>
      </c>
      <c r="O10" s="10">
        <f t="shared" si="1"/>
        <v>303758.27999999997</v>
      </c>
      <c r="R10" s="2" t="s">
        <v>9</v>
      </c>
      <c r="S10" s="8">
        <v>33750.92</v>
      </c>
      <c r="T10" s="10">
        <f t="shared" si="2"/>
        <v>2531319</v>
      </c>
    </row>
    <row r="11" spans="1:24" x14ac:dyDescent="0.3">
      <c r="A11" s="2" t="s">
        <v>10</v>
      </c>
      <c r="B11" s="8">
        <v>4807.5</v>
      </c>
      <c r="H11" s="2" t="s">
        <v>10</v>
      </c>
      <c r="I11" s="8">
        <v>4807.5</v>
      </c>
      <c r="J11" s="10">
        <f t="shared" si="0"/>
        <v>124995</v>
      </c>
      <c r="M11" s="2" t="s">
        <v>10</v>
      </c>
      <c r="N11" s="8">
        <v>4807.5</v>
      </c>
      <c r="O11" s="10">
        <f t="shared" si="1"/>
        <v>43267.5</v>
      </c>
      <c r="R11" s="2" t="s">
        <v>10</v>
      </c>
      <c r="S11" s="8">
        <v>4807.5</v>
      </c>
      <c r="T11" s="10">
        <f t="shared" si="2"/>
        <v>360562.5</v>
      </c>
    </row>
    <row r="12" spans="1:24" x14ac:dyDescent="0.3">
      <c r="A12" s="4" t="s">
        <v>11</v>
      </c>
      <c r="B12" s="7">
        <v>553.70000000000005</v>
      </c>
      <c r="H12" s="4" t="s">
        <v>11</v>
      </c>
      <c r="I12" s="7">
        <v>553.70000000000005</v>
      </c>
      <c r="J12" s="10">
        <f t="shared" si="0"/>
        <v>14396.2</v>
      </c>
      <c r="M12" s="4" t="s">
        <v>11</v>
      </c>
      <c r="N12" s="7">
        <v>553.70000000000005</v>
      </c>
      <c r="O12" s="10">
        <f t="shared" si="1"/>
        <v>4983.3</v>
      </c>
      <c r="R12" s="4" t="s">
        <v>11</v>
      </c>
      <c r="S12" s="7">
        <v>553.70000000000005</v>
      </c>
      <c r="T12" s="10">
        <f t="shared" si="2"/>
        <v>41527.5</v>
      </c>
    </row>
    <row r="13" spans="1:24" x14ac:dyDescent="0.3">
      <c r="A13" s="4" t="s">
        <v>12</v>
      </c>
      <c r="B13" s="9">
        <f>SUM(B14:B19)</f>
        <v>15172.669999999998</v>
      </c>
      <c r="H13" s="4" t="s">
        <v>12</v>
      </c>
      <c r="I13" s="9">
        <f>SUM(I14:I19)</f>
        <v>2530.67</v>
      </c>
      <c r="J13" s="10">
        <f t="shared" si="0"/>
        <v>65797.42</v>
      </c>
      <c r="M13" s="4" t="s">
        <v>12</v>
      </c>
      <c r="N13" s="9">
        <f>SUM(N14:N19)</f>
        <v>8899.4700000000012</v>
      </c>
      <c r="O13" s="10">
        <f t="shared" si="1"/>
        <v>80095.23000000001</v>
      </c>
      <c r="R13" s="4" t="s">
        <v>12</v>
      </c>
      <c r="S13" s="9">
        <f>SUM(S14:S19)</f>
        <v>15172.669999999998</v>
      </c>
      <c r="T13" s="10">
        <f t="shared" si="2"/>
        <v>1137950.2499999998</v>
      </c>
    </row>
    <row r="14" spans="1:24" x14ac:dyDescent="0.3">
      <c r="A14" s="2" t="s">
        <v>13</v>
      </c>
      <c r="B14" s="6">
        <v>6273.2</v>
      </c>
      <c r="H14" s="2" t="s">
        <v>13</v>
      </c>
      <c r="I14" s="6">
        <v>0</v>
      </c>
      <c r="J14" s="10">
        <f t="shared" si="0"/>
        <v>0</v>
      </c>
      <c r="M14" s="2" t="s">
        <v>13</v>
      </c>
      <c r="N14" s="6">
        <v>0</v>
      </c>
      <c r="O14" s="10">
        <f t="shared" si="1"/>
        <v>0</v>
      </c>
      <c r="R14" s="2" t="s">
        <v>13</v>
      </c>
      <c r="S14" s="6">
        <v>6273.2</v>
      </c>
      <c r="T14" s="10">
        <f t="shared" si="2"/>
        <v>470490</v>
      </c>
    </row>
    <row r="15" spans="1:24" x14ac:dyDescent="0.3">
      <c r="A15" s="2" t="s">
        <v>14</v>
      </c>
      <c r="B15" s="6">
        <v>292.77</v>
      </c>
      <c r="H15" s="2" t="s">
        <v>14</v>
      </c>
      <c r="I15" s="6">
        <v>292.77</v>
      </c>
      <c r="J15" s="10">
        <f t="shared" si="0"/>
        <v>7612.0199999999995</v>
      </c>
      <c r="M15" s="2" t="s">
        <v>14</v>
      </c>
      <c r="N15" s="6">
        <v>292.77</v>
      </c>
      <c r="O15" s="10">
        <f t="shared" si="1"/>
        <v>2634.93</v>
      </c>
      <c r="R15" s="2" t="s">
        <v>14</v>
      </c>
      <c r="S15" s="6">
        <v>292.77</v>
      </c>
      <c r="T15" s="10">
        <f t="shared" si="2"/>
        <v>21957.75</v>
      </c>
    </row>
    <row r="16" spans="1:24" x14ac:dyDescent="0.3">
      <c r="A16" s="2" t="s">
        <v>15</v>
      </c>
      <c r="B16" s="6">
        <v>707.2</v>
      </c>
      <c r="H16" s="2" t="s">
        <v>15</v>
      </c>
      <c r="I16" s="6">
        <v>707.2</v>
      </c>
      <c r="J16" s="10">
        <f t="shared" si="0"/>
        <v>18387.2</v>
      </c>
      <c r="M16" s="2" t="s">
        <v>15</v>
      </c>
      <c r="N16" s="6">
        <v>707.2</v>
      </c>
      <c r="O16" s="10">
        <f t="shared" si="1"/>
        <v>6364.8</v>
      </c>
      <c r="R16" s="2" t="s">
        <v>15</v>
      </c>
      <c r="S16" s="6">
        <v>707.2</v>
      </c>
      <c r="T16" s="10">
        <f t="shared" si="2"/>
        <v>53040</v>
      </c>
    </row>
    <row r="17" spans="1:27" x14ac:dyDescent="0.3">
      <c r="A17" s="2" t="s">
        <v>16</v>
      </c>
      <c r="B17" s="6">
        <v>551.04999999999995</v>
      </c>
      <c r="H17" s="2" t="s">
        <v>16</v>
      </c>
      <c r="I17" s="6">
        <v>551.04999999999995</v>
      </c>
      <c r="J17" s="10">
        <f t="shared" si="0"/>
        <v>14327.3</v>
      </c>
      <c r="M17" s="2" t="s">
        <v>16</v>
      </c>
      <c r="N17" s="6">
        <v>551.04999999999995</v>
      </c>
      <c r="O17" s="10">
        <f t="shared" si="1"/>
        <v>4959.45</v>
      </c>
      <c r="R17" s="2" t="s">
        <v>16</v>
      </c>
      <c r="S17" s="6">
        <v>551.04999999999995</v>
      </c>
      <c r="T17" s="10">
        <f t="shared" si="2"/>
        <v>41328.75</v>
      </c>
    </row>
    <row r="18" spans="1:27" x14ac:dyDescent="0.3">
      <c r="A18" s="2" t="s">
        <v>17</v>
      </c>
      <c r="B18" s="6">
        <v>979.65</v>
      </c>
      <c r="H18" s="2" t="s">
        <v>17</v>
      </c>
      <c r="I18" s="6">
        <v>979.65</v>
      </c>
      <c r="J18" s="10">
        <f t="shared" si="0"/>
        <v>25470.899999999998</v>
      </c>
      <c r="M18" s="2" t="s">
        <v>17</v>
      </c>
      <c r="N18" s="6">
        <v>979.65</v>
      </c>
      <c r="O18" s="10">
        <f t="shared" si="1"/>
        <v>8816.85</v>
      </c>
      <c r="R18" s="2" t="s">
        <v>17</v>
      </c>
      <c r="S18" s="6">
        <v>979.65</v>
      </c>
      <c r="T18" s="10">
        <f t="shared" si="2"/>
        <v>73473.75</v>
      </c>
    </row>
    <row r="19" spans="1:27" x14ac:dyDescent="0.3">
      <c r="A19" s="2" t="s">
        <v>18</v>
      </c>
      <c r="B19" s="6">
        <v>6368.8</v>
      </c>
      <c r="H19" s="2" t="s">
        <v>18</v>
      </c>
      <c r="I19" s="6">
        <v>0</v>
      </c>
      <c r="J19" s="10">
        <f t="shared" si="0"/>
        <v>0</v>
      </c>
      <c r="M19" s="2" t="s">
        <v>18</v>
      </c>
      <c r="N19" s="6">
        <v>6368.8</v>
      </c>
      <c r="O19" s="10">
        <f t="shared" si="1"/>
        <v>57319.200000000004</v>
      </c>
      <c r="R19" s="2" t="s">
        <v>18</v>
      </c>
      <c r="S19" s="6">
        <v>6368.8</v>
      </c>
      <c r="T19" s="10">
        <f t="shared" si="2"/>
        <v>477660</v>
      </c>
    </row>
    <row r="20" spans="1:27" x14ac:dyDescent="0.3">
      <c r="A20" s="4" t="s">
        <v>19</v>
      </c>
      <c r="B20" s="7">
        <v>0</v>
      </c>
      <c r="H20" s="4" t="s">
        <v>19</v>
      </c>
      <c r="I20" s="7">
        <v>0</v>
      </c>
      <c r="J20" s="10">
        <f t="shared" si="0"/>
        <v>0</v>
      </c>
      <c r="M20" s="4" t="s">
        <v>19</v>
      </c>
      <c r="N20" s="7">
        <v>0</v>
      </c>
      <c r="O20" s="10">
        <f t="shared" si="1"/>
        <v>0</v>
      </c>
      <c r="R20" s="4" t="s">
        <v>19</v>
      </c>
      <c r="S20" s="7">
        <v>0</v>
      </c>
      <c r="T20" s="10">
        <f t="shared" si="2"/>
        <v>0</v>
      </c>
    </row>
    <row r="21" spans="1:27" x14ac:dyDescent="0.3">
      <c r="A21" s="4" t="s">
        <v>20</v>
      </c>
      <c r="B21" s="7">
        <v>3723.79</v>
      </c>
      <c r="H21" s="4" t="s">
        <v>20</v>
      </c>
      <c r="I21" s="7">
        <v>3723.79</v>
      </c>
      <c r="J21" s="10">
        <f t="shared" si="0"/>
        <v>96818.54</v>
      </c>
      <c r="M21" s="4" t="s">
        <v>20</v>
      </c>
      <c r="N21" s="7">
        <v>3723.79</v>
      </c>
      <c r="O21" s="10">
        <f t="shared" si="1"/>
        <v>33514.11</v>
      </c>
      <c r="R21" s="4" t="s">
        <v>20</v>
      </c>
      <c r="S21" s="7">
        <v>3723.79</v>
      </c>
      <c r="T21" s="10">
        <f t="shared" si="2"/>
        <v>279284.25</v>
      </c>
    </row>
    <row r="22" spans="1:27" x14ac:dyDescent="0.3">
      <c r="W22" s="17" t="s">
        <v>35</v>
      </c>
    </row>
    <row r="24" spans="1:27" x14ac:dyDescent="0.3">
      <c r="W24" s="19" t="s">
        <v>34</v>
      </c>
      <c r="X24" s="18">
        <f>SUM(X8,S29)/10^6</f>
        <v>10.065014939999998</v>
      </c>
    </row>
    <row r="25" spans="1:27" ht="15.6" x14ac:dyDescent="0.3">
      <c r="A25" s="1" t="s">
        <v>21</v>
      </c>
      <c r="W25" s="19"/>
      <c r="X25" s="18"/>
    </row>
    <row r="26" spans="1:27" ht="15.6" x14ac:dyDescent="0.3">
      <c r="A26" s="1" t="s">
        <v>1</v>
      </c>
      <c r="H26" s="22" t="s">
        <v>28</v>
      </c>
      <c r="I26" s="22"/>
    </row>
    <row r="27" spans="1:27" x14ac:dyDescent="0.3">
      <c r="A27" s="2"/>
      <c r="Z27" s="20" t="s">
        <v>37</v>
      </c>
      <c r="AA27" s="21">
        <f>(X24-X30)*10^6</f>
        <v>122025.86000000082</v>
      </c>
    </row>
    <row r="28" spans="1:27" x14ac:dyDescent="0.3">
      <c r="A28" s="3" t="s">
        <v>2</v>
      </c>
      <c r="B28" s="3" t="s">
        <v>3</v>
      </c>
      <c r="H28" s="3" t="s">
        <v>2</v>
      </c>
      <c r="I28" s="3" t="s">
        <v>3</v>
      </c>
      <c r="M28" s="3" t="s">
        <v>2</v>
      </c>
      <c r="N28" s="3" t="s">
        <v>3</v>
      </c>
      <c r="O28" s="5" t="s">
        <v>29</v>
      </c>
      <c r="W28" s="17" t="s">
        <v>36</v>
      </c>
      <c r="Z28" s="20"/>
      <c r="AA28" s="21"/>
    </row>
    <row r="29" spans="1:27" x14ac:dyDescent="0.3">
      <c r="A29" s="4" t="s">
        <v>4</v>
      </c>
      <c r="B29" s="7">
        <f>SUM(B30,B45)</f>
        <v>147422.31999999998</v>
      </c>
      <c r="H29" s="4" t="s">
        <v>4</v>
      </c>
      <c r="I29" s="14">
        <f>SUM(I30,I45)</f>
        <v>147422.31999999998</v>
      </c>
      <c r="M29" s="4" t="s">
        <v>4</v>
      </c>
      <c r="N29" s="7">
        <f>SUM(N30,N45)</f>
        <v>141053.51999999999</v>
      </c>
      <c r="O29" s="11">
        <f>N29*6</f>
        <v>846321.11999999988</v>
      </c>
      <c r="R29" s="15" t="s">
        <v>30</v>
      </c>
      <c r="S29" s="16">
        <f>SUM(I29,O29)</f>
        <v>993743.43999999983</v>
      </c>
    </row>
    <row r="30" spans="1:27" x14ac:dyDescent="0.3">
      <c r="A30" s="4" t="s">
        <v>5</v>
      </c>
      <c r="B30" s="7">
        <f>SUM(B31,B37)</f>
        <v>137725.15999999997</v>
      </c>
      <c r="H30" s="4" t="s">
        <v>5</v>
      </c>
      <c r="I30" s="7">
        <f>SUM(I31,I37)</f>
        <v>137725.15999999997</v>
      </c>
      <c r="M30" s="4" t="s">
        <v>5</v>
      </c>
      <c r="N30" s="7">
        <f>SUM(N31,N37)</f>
        <v>131356.35999999999</v>
      </c>
      <c r="O30" s="10">
        <f t="shared" ref="O30:O45" si="3">N30*6</f>
        <v>788138.15999999992</v>
      </c>
      <c r="W30" s="19" t="s">
        <v>34</v>
      </c>
      <c r="X30" s="18">
        <f>X24-(S5*2)/10^6</f>
        <v>9.9429890799999967</v>
      </c>
    </row>
    <row r="31" spans="1:27" x14ac:dyDescent="0.3">
      <c r="A31" s="2" t="s">
        <v>6</v>
      </c>
      <c r="B31" s="8">
        <f>SUM(B32:B36)</f>
        <v>69147.03</v>
      </c>
      <c r="H31" s="2" t="s">
        <v>6</v>
      </c>
      <c r="I31" s="8">
        <f>SUM(I32:I36)</f>
        <v>69147.03</v>
      </c>
      <c r="M31" s="2" t="s">
        <v>6</v>
      </c>
      <c r="N31" s="8">
        <f>SUM(N32:N36)</f>
        <v>69147.03</v>
      </c>
      <c r="O31" s="10">
        <f t="shared" si="3"/>
        <v>414882.18</v>
      </c>
      <c r="W31" s="19"/>
      <c r="X31" s="18"/>
    </row>
    <row r="32" spans="1:27" x14ac:dyDescent="0.3">
      <c r="A32" s="2" t="s">
        <v>7</v>
      </c>
      <c r="B32" s="8">
        <v>18111.689999999999</v>
      </c>
      <c r="H32" s="2" t="s">
        <v>7</v>
      </c>
      <c r="I32" s="8">
        <v>18111.689999999999</v>
      </c>
      <c r="M32" s="2" t="s">
        <v>7</v>
      </c>
      <c r="N32" s="8">
        <v>18111.689999999999</v>
      </c>
      <c r="O32" s="10">
        <f t="shared" si="3"/>
        <v>108670.13999999998</v>
      </c>
    </row>
    <row r="33" spans="1:15" x14ac:dyDescent="0.3">
      <c r="A33" s="2" t="s">
        <v>8</v>
      </c>
      <c r="B33" s="8">
        <v>4254.0600000000004</v>
      </c>
      <c r="H33" s="2" t="s">
        <v>8</v>
      </c>
      <c r="I33" s="8">
        <v>4254.0600000000004</v>
      </c>
      <c r="M33" s="2" t="s">
        <v>8</v>
      </c>
      <c r="N33" s="8">
        <v>4254.0600000000004</v>
      </c>
      <c r="O33" s="10">
        <f t="shared" si="3"/>
        <v>25524.36</v>
      </c>
    </row>
    <row r="34" spans="1:15" x14ac:dyDescent="0.3">
      <c r="A34" s="2" t="s">
        <v>9</v>
      </c>
      <c r="B34" s="8">
        <v>37501.03</v>
      </c>
      <c r="H34" s="2" t="s">
        <v>9</v>
      </c>
      <c r="I34" s="8">
        <v>37501.03</v>
      </c>
      <c r="M34" s="2" t="s">
        <v>9</v>
      </c>
      <c r="N34" s="8">
        <v>37501.03</v>
      </c>
      <c r="O34" s="10">
        <f t="shared" si="3"/>
        <v>225006.18</v>
      </c>
    </row>
    <row r="35" spans="1:15" x14ac:dyDescent="0.3">
      <c r="A35" s="2" t="s">
        <v>10</v>
      </c>
      <c r="B35" s="8">
        <v>8335.76</v>
      </c>
      <c r="H35" s="2" t="s">
        <v>10</v>
      </c>
      <c r="I35" s="8">
        <v>8335.76</v>
      </c>
      <c r="M35" s="2" t="s">
        <v>10</v>
      </c>
      <c r="N35" s="8">
        <v>8335.76</v>
      </c>
      <c r="O35" s="10">
        <f t="shared" si="3"/>
        <v>50014.559999999998</v>
      </c>
    </row>
    <row r="36" spans="1:15" x14ac:dyDescent="0.3">
      <c r="A36" s="4" t="s">
        <v>22</v>
      </c>
      <c r="B36" s="9">
        <v>944.49</v>
      </c>
      <c r="H36" s="4" t="s">
        <v>22</v>
      </c>
      <c r="I36" s="9">
        <v>944.49</v>
      </c>
      <c r="M36" s="4" t="s">
        <v>22</v>
      </c>
      <c r="N36" s="9">
        <v>944.49</v>
      </c>
      <c r="O36" s="10">
        <f t="shared" si="3"/>
        <v>5666.9400000000005</v>
      </c>
    </row>
    <row r="37" spans="1:15" x14ac:dyDescent="0.3">
      <c r="A37" s="4" t="s">
        <v>12</v>
      </c>
      <c r="B37" s="7">
        <f>SUM(B38:B44)</f>
        <v>68578.12999999999</v>
      </c>
      <c r="H37" s="4" t="s">
        <v>12</v>
      </c>
      <c r="I37" s="7">
        <f>SUM(I38:I44)</f>
        <v>68578.12999999999</v>
      </c>
      <c r="M37" s="4" t="s">
        <v>12</v>
      </c>
      <c r="N37" s="7">
        <f>SUM(N38:N44)</f>
        <v>62209.329999999994</v>
      </c>
      <c r="O37" s="10">
        <f t="shared" si="3"/>
        <v>373255.98</v>
      </c>
    </row>
    <row r="38" spans="1:15" x14ac:dyDescent="0.3">
      <c r="A38" s="2" t="s">
        <v>13</v>
      </c>
      <c r="B38" s="8">
        <v>43763.65</v>
      </c>
      <c r="H38" s="2" t="s">
        <v>13</v>
      </c>
      <c r="I38" s="8">
        <v>43763.65</v>
      </c>
      <c r="M38" s="2" t="s">
        <v>13</v>
      </c>
      <c r="N38" s="8">
        <v>43763.65</v>
      </c>
      <c r="O38" s="10">
        <f t="shared" si="3"/>
        <v>262581.90000000002</v>
      </c>
    </row>
    <row r="39" spans="1:15" x14ac:dyDescent="0.3">
      <c r="A39" s="2" t="s">
        <v>14</v>
      </c>
      <c r="B39" s="8">
        <v>2138.4299999999998</v>
      </c>
      <c r="H39" s="2" t="s">
        <v>14</v>
      </c>
      <c r="I39" s="8">
        <v>2138.4299999999998</v>
      </c>
      <c r="M39" s="2" t="s">
        <v>14</v>
      </c>
      <c r="N39" s="8">
        <v>2138.4299999999998</v>
      </c>
      <c r="O39" s="10">
        <f t="shared" si="3"/>
        <v>12830.579999999998</v>
      </c>
    </row>
    <row r="40" spans="1:15" x14ac:dyDescent="0.3">
      <c r="A40" s="2" t="s">
        <v>15</v>
      </c>
      <c r="B40" s="8">
        <v>6997.73</v>
      </c>
      <c r="H40" s="2" t="s">
        <v>15</v>
      </c>
      <c r="I40" s="8">
        <v>6997.73</v>
      </c>
      <c r="M40" s="2" t="s">
        <v>15</v>
      </c>
      <c r="N40" s="8">
        <v>6997.73</v>
      </c>
      <c r="O40" s="10">
        <f t="shared" si="3"/>
        <v>41986.38</v>
      </c>
    </row>
    <row r="41" spans="1:15" x14ac:dyDescent="0.3">
      <c r="A41" s="2" t="s">
        <v>16</v>
      </c>
      <c r="B41" s="8">
        <v>2332.6799999999998</v>
      </c>
      <c r="H41" s="2" t="s">
        <v>16</v>
      </c>
      <c r="I41" s="8">
        <v>2332.6799999999998</v>
      </c>
      <c r="M41" s="2" t="s">
        <v>16</v>
      </c>
      <c r="N41" s="8">
        <v>2332.6799999999998</v>
      </c>
      <c r="O41" s="10">
        <f t="shared" si="3"/>
        <v>13996.079999999998</v>
      </c>
    </row>
    <row r="42" spans="1:15" x14ac:dyDescent="0.3">
      <c r="A42" s="2" t="s">
        <v>17</v>
      </c>
      <c r="B42" s="8">
        <v>4591.92</v>
      </c>
      <c r="H42" s="2" t="s">
        <v>17</v>
      </c>
      <c r="I42" s="8">
        <v>4591.92</v>
      </c>
      <c r="M42" s="2" t="s">
        <v>17</v>
      </c>
      <c r="N42" s="8">
        <v>4591.92</v>
      </c>
      <c r="O42" s="10">
        <f t="shared" si="3"/>
        <v>27551.52</v>
      </c>
    </row>
    <row r="43" spans="1:15" x14ac:dyDescent="0.3">
      <c r="A43" s="2" t="s">
        <v>18</v>
      </c>
      <c r="B43" s="13">
        <v>6368.8</v>
      </c>
      <c r="H43" s="2" t="s">
        <v>18</v>
      </c>
      <c r="I43" s="6">
        <v>6368.8</v>
      </c>
      <c r="M43" s="2" t="s">
        <v>18</v>
      </c>
      <c r="N43" s="8">
        <v>0</v>
      </c>
      <c r="O43" s="10">
        <f t="shared" si="3"/>
        <v>0</v>
      </c>
    </row>
    <row r="44" spans="1:15" x14ac:dyDescent="0.3">
      <c r="A44" s="2" t="s">
        <v>23</v>
      </c>
      <c r="B44" s="8">
        <v>2384.92</v>
      </c>
      <c r="H44" s="2" t="s">
        <v>23</v>
      </c>
      <c r="I44" s="8">
        <v>2384.92</v>
      </c>
      <c r="M44" s="2" t="s">
        <v>23</v>
      </c>
      <c r="N44" s="8">
        <v>2384.92</v>
      </c>
      <c r="O44" s="10">
        <f t="shared" si="3"/>
        <v>14309.52</v>
      </c>
    </row>
    <row r="45" spans="1:15" x14ac:dyDescent="0.3">
      <c r="A45" s="4" t="s">
        <v>20</v>
      </c>
      <c r="B45" s="7">
        <v>9697.16</v>
      </c>
      <c r="H45" s="4" t="s">
        <v>20</v>
      </c>
      <c r="I45" s="7">
        <v>9697.16</v>
      </c>
      <c r="M45" s="4" t="s">
        <v>20</v>
      </c>
      <c r="N45" s="7">
        <v>9697.16</v>
      </c>
      <c r="O45" s="10">
        <f t="shared" si="3"/>
        <v>58182.96</v>
      </c>
    </row>
  </sheetData>
  <mergeCells count="10">
    <mergeCell ref="H1:J1"/>
    <mergeCell ref="M1:O1"/>
    <mergeCell ref="R1:T1"/>
    <mergeCell ref="H26:I26"/>
    <mergeCell ref="W24:W25"/>
    <mergeCell ref="X24:X25"/>
    <mergeCell ref="W30:W31"/>
    <mergeCell ref="X30:X31"/>
    <mergeCell ref="Z27:Z28"/>
    <mergeCell ref="AA27:AA28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 REFORMA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2026-05-07T10:42:14Z</dcterms:created>
  <dcterms:modified xsi:type="dcterms:W3CDTF">2026-05-14T18:17:51Z</dcterms:modified>
</cp:coreProperties>
</file>